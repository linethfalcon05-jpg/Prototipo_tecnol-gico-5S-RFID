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tes" sheetId="1" state="visible" r:id="rId3"/>
    <sheet name="Resumen" sheetId="2" state="visible" r:id="rId4"/>
    <sheet name="Instrucciones" sheetId="3" state="visible" r:id="rId5"/>
  </sheets>
  <definedNames>
    <definedName function="false" hidden="true" localSheetId="0" name="_xlnm._FilterDatabase" vbProcedure="false">Lotes!$A$1:$L$52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<sst xmlns="http://schemas.openxmlformats.org/spreadsheetml/2006/main" count="239" uniqueCount="117">
  <si>
    <t xml:space="preserve">N° pedido (lote)</t>
  </si>
  <si>
    <t xml:space="preserve">Cliente</t>
  </si>
  <si>
    <t xml:space="preserve">Descripción del producto</t>
  </si>
  <si>
    <t xml:space="preserve">Unidades</t>
  </si>
  <si>
    <t xml:space="preserve">Fecha de pedido</t>
  </si>
  <si>
    <t xml:space="preserve">Fecha de ingreso al almacén</t>
  </si>
  <si>
    <t xml:space="preserve">Incidencia (solo simulación)</t>
  </si>
  <si>
    <t xml:space="preserve">Largo (cm)</t>
  </si>
  <si>
    <t xml:space="preserve">Ancho (cm)</t>
  </si>
  <si>
    <t xml:space="preserve">Fecha límite</t>
  </si>
  <si>
    <t xml:space="preserve">Día de despacho</t>
  </si>
  <si>
    <t xml:space="preserve">Zona de ubicación</t>
  </si>
  <si>
    <t xml:space="preserve">P-0201</t>
  </si>
  <si>
    <t xml:space="preserve">Empresa E</t>
  </si>
  <si>
    <t xml:space="preserve">BANDEJA #20*30 - BLANCA</t>
  </si>
  <si>
    <t xml:space="preserve">ninguna</t>
  </si>
  <si>
    <t xml:space="preserve">P-0202</t>
  </si>
  <si>
    <t xml:space="preserve">BASE PASTELERIA #25 - DORADO ESPEJO</t>
  </si>
  <si>
    <t xml:space="preserve">P-0203</t>
  </si>
  <si>
    <t xml:space="preserve">Empresa A</t>
  </si>
  <si>
    <t xml:space="preserve">P-0204</t>
  </si>
  <si>
    <t xml:space="preserve">Pizzería Napoli</t>
  </si>
  <si>
    <t xml:space="preserve">BASE PASTELERIA #15*30 - DORADO ESPEJO</t>
  </si>
  <si>
    <t xml:space="preserve">dañado</t>
  </si>
  <si>
    <t xml:space="preserve">P-0205</t>
  </si>
  <si>
    <t xml:space="preserve">Pastelería Dulce</t>
  </si>
  <si>
    <t xml:space="preserve">CAJA #40*30 - KRAFT</t>
  </si>
  <si>
    <t xml:space="preserve">P-0206</t>
  </si>
  <si>
    <t xml:space="preserve">Empresa C</t>
  </si>
  <si>
    <t xml:space="preserve">CAJA #50*40 - KRAFT</t>
  </si>
  <si>
    <t xml:space="preserve">P-0207</t>
  </si>
  <si>
    <t xml:space="preserve">Empresa B</t>
  </si>
  <si>
    <t xml:space="preserve">BASE DE TORTA #30 - LOGO EMPRESA B IMPRESO</t>
  </si>
  <si>
    <t xml:space="preserve">sin ubicar</t>
  </si>
  <si>
    <t xml:space="preserve">P-0208</t>
  </si>
  <si>
    <t xml:space="preserve">P-0209</t>
  </si>
  <si>
    <t xml:space="preserve">Panadería D</t>
  </si>
  <si>
    <t xml:space="preserve">BASE DE TORTA #25 - PLATEADO</t>
  </si>
  <si>
    <t xml:space="preserve">P-0210</t>
  </si>
  <si>
    <t xml:space="preserve">CAJA DELIVERY #30*20 - LOGO PASTELERÍA DULCE IMPRESO</t>
  </si>
  <si>
    <t xml:space="preserve">P-0211</t>
  </si>
  <si>
    <t xml:space="preserve">P-0212</t>
  </si>
  <si>
    <t xml:space="preserve">Empresa F</t>
  </si>
  <si>
    <t xml:space="preserve">BANDEJA #15*20 - BLANCA</t>
  </si>
  <si>
    <t xml:space="preserve">P-0213</t>
  </si>
  <si>
    <t xml:space="preserve">P-0214</t>
  </si>
  <si>
    <t xml:space="preserve">CAJA DE TORTA #25 - CON VENTANA</t>
  </si>
  <si>
    <t xml:space="preserve">P-0215</t>
  </si>
  <si>
    <t xml:space="preserve">zona incorrecta</t>
  </si>
  <si>
    <t xml:space="preserve">P-0216</t>
  </si>
  <si>
    <t xml:space="preserve">BASE DE TORTA #30 - LOGO EMPRESA E IMPRESO</t>
  </si>
  <si>
    <t xml:space="preserve">P-0217</t>
  </si>
  <si>
    <t xml:space="preserve">P-0218</t>
  </si>
  <si>
    <t xml:space="preserve">P-0219</t>
  </si>
  <si>
    <t xml:space="preserve">P-0220</t>
  </si>
  <si>
    <t xml:space="preserve">P-0221</t>
  </si>
  <si>
    <t xml:space="preserve">P-0222</t>
  </si>
  <si>
    <t xml:space="preserve">CAJA PIZZA #40*30 - BLANCA</t>
  </si>
  <si>
    <t xml:space="preserve">P-0223</t>
  </si>
  <si>
    <t xml:space="preserve">P-0224</t>
  </si>
  <si>
    <t xml:space="preserve">P-0225</t>
  </si>
  <si>
    <t xml:space="preserve">P-0226</t>
  </si>
  <si>
    <t xml:space="preserve">P-0227</t>
  </si>
  <si>
    <t xml:space="preserve">P-0228</t>
  </si>
  <si>
    <t xml:space="preserve">P-0229</t>
  </si>
  <si>
    <t xml:space="preserve">P-0230</t>
  </si>
  <si>
    <t xml:space="preserve">P-0231</t>
  </si>
  <si>
    <t xml:space="preserve">CAJA DELIVERY #30*20 - LOGO PANADERÍA D IMPRESO</t>
  </si>
  <si>
    <t xml:space="preserve">P-0232</t>
  </si>
  <si>
    <t xml:space="preserve">P-0233</t>
  </si>
  <si>
    <t xml:space="preserve">BASE DE TORTA #30 - LOGO EMPRESA A IMPRESO</t>
  </si>
  <si>
    <t xml:space="preserve">P-0234</t>
  </si>
  <si>
    <t xml:space="preserve">P-0235</t>
  </si>
  <si>
    <t xml:space="preserve">P-0236</t>
  </si>
  <si>
    <t xml:space="preserve">P-0237</t>
  </si>
  <si>
    <t xml:space="preserve">P-0238</t>
  </si>
  <si>
    <t xml:space="preserve">CAJA PIZZA #35 - KRAFT</t>
  </si>
  <si>
    <t xml:space="preserve">P-0239</t>
  </si>
  <si>
    <t xml:space="preserve">P-0240</t>
  </si>
  <si>
    <t xml:space="preserve">P-0241</t>
  </si>
  <si>
    <t xml:space="preserve">BASE DE TORTA #30 - LOGO PASTELERÍA DULCE IMPRESO</t>
  </si>
  <si>
    <t xml:space="preserve">P-0242</t>
  </si>
  <si>
    <t xml:space="preserve">P-0243</t>
  </si>
  <si>
    <t xml:space="preserve">P-0244</t>
  </si>
  <si>
    <t xml:space="preserve">P-0245</t>
  </si>
  <si>
    <t xml:space="preserve">P-0246</t>
  </si>
  <si>
    <t xml:space="preserve">P-0247</t>
  </si>
  <si>
    <t xml:space="preserve">CAJA DELIVERY #30*20 - LOGO PIZZERÍA NAPOLI IMPRESO</t>
  </si>
  <si>
    <t xml:space="preserve">P-0248</t>
  </si>
  <si>
    <t xml:space="preserve">P-0249</t>
  </si>
  <si>
    <t xml:space="preserve">BASE DE TORTA #30 - LOGO PIZZERÍA NAPOLI IMPRESO</t>
  </si>
  <si>
    <t xml:space="preserve">P-0250</t>
  </si>
  <si>
    <t xml:space="preserve">CAJA DELIVERY #30*20 - LOGO EMPRESA C IMPRESO</t>
  </si>
  <si>
    <t xml:space="preserve">P-0251</t>
  </si>
  <si>
    <t xml:space="preserve">Resumen de la base de lotes de prueba</t>
  </si>
  <si>
    <t xml:space="preserve">Lotes (etiquetas RFID)</t>
  </si>
  <si>
    <t xml:space="preserve">Clientes distintos</t>
  </si>
  <si>
    <t xml:space="preserve">Unidades totales</t>
  </si>
  <si>
    <t xml:space="preserve">Lotes zona MARTES</t>
  </si>
  <si>
    <t xml:space="preserve">Lotes zona JUEVES</t>
  </si>
  <si>
    <t xml:space="preserve">Lotes de emergencia (AM-01)</t>
  </si>
  <si>
    <t xml:space="preserve">Lotes no conformes (NC-01)</t>
  </si>
  <si>
    <t xml:space="preserve">Incidencia: zona incorrecta</t>
  </si>
  <si>
    <t xml:space="preserve">Incidencia: sin ubicar</t>
  </si>
  <si>
    <t xml:space="preserve">Incidencia: dañado</t>
  </si>
  <si>
    <t xml:space="preserve">Primer ingreso al almacén</t>
  </si>
  <si>
    <t xml:space="preserve">Último ingreso al almacén</t>
  </si>
  <si>
    <t xml:space="preserve">Base de datos de lotes usada en las pruebas del prototipo 5S + RFID</t>
  </si>
  <si>
    <t xml:space="preserve">Origen. Son los 51 lotes de ejemplo del prototipo, que ingresan al almacén entre el 05/10/2026 y el 16/10/2026 (de 4 a 7 lotes por día hábil).</t>
  </si>
  <si>
    <t xml:space="preserve">Una fila es un pedido, un lote y una etiqueta RFID.</t>
  </si>
  <si>
    <t xml:space="preserve">Columnas que se llenan (cabecera marrón oscuro): N° pedido, cliente, descripción, unidades, fecha de pedido, fecha de ingreso e incidencia.</t>
  </si>
  <si>
    <t xml:space="preserve">Columnas calculadas (cabecera naranja): fecha límite = fecha de pedido + 6 días; día de despacho = último martes o jueves antes o en la fecha límite;</t>
  </si>
  <si>
    <t xml:space="preserve">zona = NC-01 si el lote está dañado, AM-01 si ingresa el mismo día de su despacho o después, MARTES o JUEVES según el día de despacho.</t>
  </si>
  <si>
    <t xml:space="preserve">La medida (largo y ancho) se lee de la descripción. #15*30 es 15 × 30 cm y #30 es 30 × 30 cm.</t>
  </si>
  <si>
    <t xml:space="preserve">La incidencia solo sirve para la simulación. Valores posibles: ninguna, zona incorrecta, dañado, sin ubicar, no despachado.</t>
  </si>
  <si>
    <t xml:space="preserve">Cómo cargarla en el prototipo. Pestaña ① Área comercial, botón Cargar Excel, elegir este archivo, revisar la vista previa y pulsar Confirmar carga.</t>
  </si>
  <si>
    <t xml:space="preserve">Fechas solo de lunes a viernes.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</si>
</sst>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d\ dd/mm/yyyy"/>
    <numFmt numFmtId="167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A3D22"/>
        <bgColor rgb="FF333300"/>
      </patternFill>
    </fill>
    <fill>
      <patternFill patternType="solid">
        <fgColor rgb="FFB8662A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6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A3D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66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662A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6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A3D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4" t="n">
        <v>650</v>
      </c>
      <c r="E2" s="5" t="n">
        <v>46297</v>
      </c>
      <c r="F2" s="5" t="n">
        <v>46300</v>
      </c>
      <c r="G2" s="3" t="s">
        <v>15</v>
      </c>
      <c r="H2" s="3" t="n">
        <v>20</v>
      </c>
      <c r="I2" s="3" t="n">
        <v>30</v>
      </c>
      <c r="J2" s="5" t="n">
        <f aca="false">E2+6</f>
        <v>46303</v>
      </c>
      <c r="K2" s="5" t="n">
        <f aca="false">J2-IF(WEEKDAY(J2,2)&gt;=4,WEEKDAY(J2,2)-4,IF(WEEKDAY(J2,2)&gt;=2,WEEKDAY(J2,2)-2,4))</f>
        <v>46303</v>
      </c>
      <c r="L2" s="3" t="str">
        <f aca="false">IF(G2="dañado","NC-01",IF(F2&gt;=K2,"AM-01",IF(WEEKDAY(K2,2)=2,"MARTES","JUEVES")))</f>
        <v>JUEVES</v>
      </c>
    </row>
    <row r="3" customFormat="false" ht="15" hidden="false" customHeight="false" outlineLevel="0" collapsed="false">
      <c r="A3" s="3" t="s">
        <v>16</v>
      </c>
      <c r="B3" s="3" t="s">
        <v>13</v>
      </c>
      <c r="C3" s="3" t="s">
        <v>17</v>
      </c>
      <c r="D3" s="4" t="n">
        <v>1000</v>
      </c>
      <c r="E3" s="5" t="n">
        <v>46297</v>
      </c>
      <c r="F3" s="5" t="n">
        <v>46300</v>
      </c>
      <c r="G3" s="3" t="s">
        <v>15</v>
      </c>
      <c r="H3" s="3" t="n">
        <v>25</v>
      </c>
      <c r="I3" s="3" t="n">
        <v>25</v>
      </c>
      <c r="J3" s="5" t="n">
        <f aca="false">E3+6</f>
        <v>46303</v>
      </c>
      <c r="K3" s="5" t="n">
        <f aca="false">J3-IF(WEEKDAY(J3,2)&gt;=4,WEEKDAY(J3,2)-4,IF(WEEKDAY(J3,2)&gt;=2,WEEKDAY(J3,2)-2,4))</f>
        <v>46303</v>
      </c>
      <c r="L3" s="3" t="str">
        <f aca="false">IF(G3="dañado","NC-01",IF(F3&gt;=K3,"AM-01",IF(WEEKDAY(K3,2)=2,"MARTES","JUEVES")))</f>
        <v>JUEVES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17</v>
      </c>
      <c r="D4" s="4" t="n">
        <v>500</v>
      </c>
      <c r="E4" s="5" t="n">
        <v>46296</v>
      </c>
      <c r="F4" s="5" t="n">
        <v>46300</v>
      </c>
      <c r="G4" s="3" t="s">
        <v>15</v>
      </c>
      <c r="H4" s="3" t="n">
        <v>25</v>
      </c>
      <c r="I4" s="3" t="n">
        <v>25</v>
      </c>
      <c r="J4" s="5" t="n">
        <f aca="false">E4+6</f>
        <v>46302</v>
      </c>
      <c r="K4" s="5" t="n">
        <f aca="false">J4-IF(WEEKDAY(J4,2)&gt;=4,WEEKDAY(J4,2)-4,IF(WEEKDAY(J4,2)&gt;=2,WEEKDAY(J4,2)-2,4))</f>
        <v>46301</v>
      </c>
      <c r="L4" s="3" t="str">
        <f aca="false">IF(G4="dañado","NC-01",IF(F4&gt;=K4,"AM-01",IF(WEEKDAY(K4,2)=2,"MARTES","JUEVES")))</f>
        <v>MARTES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22</v>
      </c>
      <c r="D5" s="4" t="n">
        <v>350</v>
      </c>
      <c r="E5" s="5" t="n">
        <v>46295</v>
      </c>
      <c r="F5" s="5" t="n">
        <v>46300</v>
      </c>
      <c r="G5" s="3" t="s">
        <v>23</v>
      </c>
      <c r="H5" s="3" t="n">
        <v>15</v>
      </c>
      <c r="I5" s="3" t="n">
        <v>30</v>
      </c>
      <c r="J5" s="5" t="n">
        <f aca="false">E5+6</f>
        <v>46301</v>
      </c>
      <c r="K5" s="5" t="n">
        <f aca="false">J5-IF(WEEKDAY(J5,2)&gt;=4,WEEKDAY(J5,2)-4,IF(WEEKDAY(J5,2)&gt;=2,WEEKDAY(J5,2)-2,4))</f>
        <v>46301</v>
      </c>
      <c r="L5" s="3" t="str">
        <f aca="false">IF(G5="dañado","NC-01",IF(F5&gt;=K5,"AM-01",IF(WEEKDAY(K5,2)=2,"MARTES","JUEVES")))</f>
        <v>NC-01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26</v>
      </c>
      <c r="D6" s="4" t="n">
        <v>850</v>
      </c>
      <c r="E6" s="5" t="n">
        <v>46297</v>
      </c>
      <c r="F6" s="5" t="n">
        <v>46301</v>
      </c>
      <c r="G6" s="3" t="s">
        <v>15</v>
      </c>
      <c r="H6" s="3" t="n">
        <v>40</v>
      </c>
      <c r="I6" s="3" t="n">
        <v>30</v>
      </c>
      <c r="J6" s="5" t="n">
        <f aca="false">E6+6</f>
        <v>46303</v>
      </c>
      <c r="K6" s="5" t="n">
        <f aca="false">J6-IF(WEEKDAY(J6,2)&gt;=4,WEEKDAY(J6,2)-4,IF(WEEKDAY(J6,2)&gt;=2,WEEKDAY(J6,2)-2,4))</f>
        <v>46303</v>
      </c>
      <c r="L6" s="3" t="str">
        <f aca="false">IF(G6="dañado","NC-01",IF(F6&gt;=K6,"AM-01",IF(WEEKDAY(K6,2)=2,"MARTES","JUEVES")))</f>
        <v>JUEVES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29</v>
      </c>
      <c r="D7" s="4" t="n">
        <v>200</v>
      </c>
      <c r="E7" s="5" t="n">
        <v>46296</v>
      </c>
      <c r="F7" s="5" t="n">
        <v>46301</v>
      </c>
      <c r="G7" s="3" t="s">
        <v>15</v>
      </c>
      <c r="H7" s="3" t="n">
        <v>50</v>
      </c>
      <c r="I7" s="3" t="n">
        <v>40</v>
      </c>
      <c r="J7" s="5" t="n">
        <f aca="false">E7+6</f>
        <v>46302</v>
      </c>
      <c r="K7" s="5" t="n">
        <f aca="false">J7-IF(WEEKDAY(J7,2)&gt;=4,WEEKDAY(J7,2)-4,IF(WEEKDAY(J7,2)&gt;=2,WEEKDAY(J7,2)-2,4))</f>
        <v>46301</v>
      </c>
      <c r="L7" s="3" t="str">
        <f aca="false">IF(G7="dañado","NC-01",IF(F7&gt;=K7,"AM-01",IF(WEEKDAY(K7,2)=2,"MARTES","JUEVES")))</f>
        <v>AM-01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32</v>
      </c>
      <c r="D8" s="4" t="n">
        <v>1000</v>
      </c>
      <c r="E8" s="5" t="n">
        <v>46300</v>
      </c>
      <c r="F8" s="5" t="n">
        <v>46301</v>
      </c>
      <c r="G8" s="3" t="s">
        <v>33</v>
      </c>
      <c r="H8" s="3" t="n">
        <v>30</v>
      </c>
      <c r="I8" s="3" t="n">
        <v>30</v>
      </c>
      <c r="J8" s="5" t="n">
        <f aca="false">E8+6</f>
        <v>46306</v>
      </c>
      <c r="K8" s="5" t="n">
        <f aca="false">J8-IF(WEEKDAY(J8,2)&gt;=4,WEEKDAY(J8,2)-4,IF(WEEKDAY(J8,2)&gt;=2,WEEKDAY(J8,2)-2,4))</f>
        <v>46303</v>
      </c>
      <c r="L8" s="3" t="str">
        <f aca="false">IF(G8="dañado","NC-01",IF(F8&gt;=K8,"AM-01",IF(WEEKDAY(K8,2)=2,"MARTES","JUEVES")))</f>
        <v>JUEVES</v>
      </c>
    </row>
    <row r="9" customFormat="false" ht="15" hidden="false" customHeight="false" outlineLevel="0" collapsed="false">
      <c r="A9" s="3" t="s">
        <v>34</v>
      </c>
      <c r="B9" s="3" t="s">
        <v>31</v>
      </c>
      <c r="C9" s="3" t="s">
        <v>29</v>
      </c>
      <c r="D9" s="4" t="n">
        <v>900</v>
      </c>
      <c r="E9" s="5" t="n">
        <v>46297</v>
      </c>
      <c r="F9" s="5" t="n">
        <v>46301</v>
      </c>
      <c r="G9" s="3" t="s">
        <v>15</v>
      </c>
      <c r="H9" s="3" t="n">
        <v>50</v>
      </c>
      <c r="I9" s="3" t="n">
        <v>40</v>
      </c>
      <c r="J9" s="5" t="n">
        <f aca="false">E9+6</f>
        <v>46303</v>
      </c>
      <c r="K9" s="5" t="n">
        <f aca="false">J9-IF(WEEKDAY(J9,2)&gt;=4,WEEKDAY(J9,2)-4,IF(WEEKDAY(J9,2)&gt;=2,WEEKDAY(J9,2)-2,4))</f>
        <v>46303</v>
      </c>
      <c r="L9" s="3" t="str">
        <f aca="false">IF(G9="dañado","NC-01",IF(F9&gt;=K9,"AM-01",IF(WEEKDAY(K9,2)=2,"MARTES","JUEVES")))</f>
        <v>JUEVES</v>
      </c>
    </row>
    <row r="10" customFormat="false" ht="15" hidden="false" customHeight="false" outlineLevel="0" collapsed="false">
      <c r="A10" s="3" t="s">
        <v>35</v>
      </c>
      <c r="B10" s="3" t="s">
        <v>36</v>
      </c>
      <c r="C10" s="3" t="s">
        <v>37</v>
      </c>
      <c r="D10" s="4" t="n">
        <v>500</v>
      </c>
      <c r="E10" s="5" t="n">
        <v>46300</v>
      </c>
      <c r="F10" s="5" t="n">
        <v>46301</v>
      </c>
      <c r="G10" s="3" t="s">
        <v>15</v>
      </c>
      <c r="H10" s="3" t="n">
        <v>25</v>
      </c>
      <c r="I10" s="3" t="n">
        <v>25</v>
      </c>
      <c r="J10" s="5" t="n">
        <f aca="false">E10+6</f>
        <v>46306</v>
      </c>
      <c r="K10" s="5" t="n">
        <f aca="false">J10-IF(WEEKDAY(J10,2)&gt;=4,WEEKDAY(J10,2)-4,IF(WEEKDAY(J10,2)&gt;=2,WEEKDAY(J10,2)-2,4))</f>
        <v>46303</v>
      </c>
      <c r="L10" s="3" t="str">
        <f aca="false">IF(G10="dañado","NC-01",IF(F10&gt;=K10,"AM-01",IF(WEEKDAY(K10,2)=2,"MARTES","JUEVES")))</f>
        <v>JUEVES</v>
      </c>
    </row>
    <row r="11" customFormat="false" ht="15" hidden="false" customHeight="false" outlineLevel="0" collapsed="false">
      <c r="A11" s="3" t="s">
        <v>38</v>
      </c>
      <c r="B11" s="3" t="s">
        <v>25</v>
      </c>
      <c r="C11" s="3" t="s">
        <v>39</v>
      </c>
      <c r="D11" s="4" t="n">
        <v>750</v>
      </c>
      <c r="E11" s="5" t="n">
        <v>46300</v>
      </c>
      <c r="F11" s="5" t="n">
        <v>46302</v>
      </c>
      <c r="G11" s="3" t="s">
        <v>15</v>
      </c>
      <c r="H11" s="3" t="n">
        <v>30</v>
      </c>
      <c r="I11" s="3" t="n">
        <v>20</v>
      </c>
      <c r="J11" s="5" t="n">
        <f aca="false">E11+6</f>
        <v>46306</v>
      </c>
      <c r="K11" s="5" t="n">
        <f aca="false">J11-IF(WEEKDAY(J11,2)&gt;=4,WEEKDAY(J11,2)-4,IF(WEEKDAY(J11,2)&gt;=2,WEEKDAY(J11,2)-2,4))</f>
        <v>46303</v>
      </c>
      <c r="L11" s="3" t="str">
        <f aca="false">IF(G11="dañado","NC-01",IF(F11&gt;=K11,"AM-01",IF(WEEKDAY(K11,2)=2,"MARTES","JUEVES")))</f>
        <v>JUEVES</v>
      </c>
    </row>
    <row r="12" customFormat="false" ht="15" hidden="false" customHeight="false" outlineLevel="0" collapsed="false">
      <c r="A12" s="3" t="s">
        <v>40</v>
      </c>
      <c r="B12" s="3" t="s">
        <v>21</v>
      </c>
      <c r="C12" s="3" t="s">
        <v>37</v>
      </c>
      <c r="D12" s="4" t="n">
        <v>850</v>
      </c>
      <c r="E12" s="5" t="n">
        <v>46297</v>
      </c>
      <c r="F12" s="5" t="n">
        <v>46302</v>
      </c>
      <c r="G12" s="3" t="s">
        <v>15</v>
      </c>
      <c r="H12" s="3" t="n">
        <v>25</v>
      </c>
      <c r="I12" s="3" t="n">
        <v>25</v>
      </c>
      <c r="J12" s="5" t="n">
        <f aca="false">E12+6</f>
        <v>46303</v>
      </c>
      <c r="K12" s="5" t="n">
        <f aca="false">J12-IF(WEEKDAY(J12,2)&gt;=4,WEEKDAY(J12,2)-4,IF(WEEKDAY(J12,2)&gt;=2,WEEKDAY(J12,2)-2,4))</f>
        <v>46303</v>
      </c>
      <c r="L12" s="3" t="str">
        <f aca="false">IF(G12="dañado","NC-01",IF(F12&gt;=K12,"AM-01",IF(WEEKDAY(K12,2)=2,"MARTES","JUEVES")))</f>
        <v>JUEVES</v>
      </c>
    </row>
    <row r="13" customFormat="false" ht="15" hidden="false" customHeight="false" outlineLevel="0" collapsed="false">
      <c r="A13" s="3" t="s">
        <v>41</v>
      </c>
      <c r="B13" s="3" t="s">
        <v>42</v>
      </c>
      <c r="C13" s="3" t="s">
        <v>43</v>
      </c>
      <c r="D13" s="4" t="n">
        <v>1200</v>
      </c>
      <c r="E13" s="5" t="n">
        <v>46297</v>
      </c>
      <c r="F13" s="5" t="n">
        <v>46302</v>
      </c>
      <c r="G13" s="3" t="s">
        <v>15</v>
      </c>
      <c r="H13" s="3" t="n">
        <v>15</v>
      </c>
      <c r="I13" s="3" t="n">
        <v>20</v>
      </c>
      <c r="J13" s="5" t="n">
        <f aca="false">E13+6</f>
        <v>46303</v>
      </c>
      <c r="K13" s="5" t="n">
        <f aca="false">J13-IF(WEEKDAY(J13,2)&gt;=4,WEEKDAY(J13,2)-4,IF(WEEKDAY(J13,2)&gt;=2,WEEKDAY(J13,2)-2,4))</f>
        <v>46303</v>
      </c>
      <c r="L13" s="3" t="str">
        <f aca="false">IF(G13="dañado","NC-01",IF(F13&gt;=K13,"AM-01",IF(WEEKDAY(K13,2)=2,"MARTES","JUEVES")))</f>
        <v>JUEVES</v>
      </c>
    </row>
    <row r="14" customFormat="false" ht="15" hidden="false" customHeight="false" outlineLevel="0" collapsed="false">
      <c r="A14" s="3" t="s">
        <v>44</v>
      </c>
      <c r="B14" s="3" t="s">
        <v>25</v>
      </c>
      <c r="C14" s="3" t="s">
        <v>14</v>
      </c>
      <c r="D14" s="4" t="n">
        <v>950</v>
      </c>
      <c r="E14" s="5" t="n">
        <v>46300</v>
      </c>
      <c r="F14" s="5" t="n">
        <v>46302</v>
      </c>
      <c r="G14" s="3" t="s">
        <v>15</v>
      </c>
      <c r="H14" s="3" t="n">
        <v>20</v>
      </c>
      <c r="I14" s="3" t="n">
        <v>30</v>
      </c>
      <c r="J14" s="5" t="n">
        <f aca="false">E14+6</f>
        <v>46306</v>
      </c>
      <c r="K14" s="5" t="n">
        <f aca="false">J14-IF(WEEKDAY(J14,2)&gt;=4,WEEKDAY(J14,2)-4,IF(WEEKDAY(J14,2)&gt;=2,WEEKDAY(J14,2)-2,4))</f>
        <v>46303</v>
      </c>
      <c r="L14" s="3" t="str">
        <f aca="false">IF(G14="dañado","NC-01",IF(F14&gt;=K14,"AM-01",IF(WEEKDAY(K14,2)=2,"MARTES","JUEVES")))</f>
        <v>JUEVES</v>
      </c>
    </row>
    <row r="15" customFormat="false" ht="15" hidden="false" customHeight="false" outlineLevel="0" collapsed="false">
      <c r="A15" s="3" t="s">
        <v>45</v>
      </c>
      <c r="B15" s="3" t="s">
        <v>28</v>
      </c>
      <c r="C15" s="3" t="s">
        <v>46</v>
      </c>
      <c r="D15" s="4" t="n">
        <v>850</v>
      </c>
      <c r="E15" s="5" t="n">
        <v>46300</v>
      </c>
      <c r="F15" s="5" t="n">
        <v>46303</v>
      </c>
      <c r="G15" s="3" t="s">
        <v>15</v>
      </c>
      <c r="H15" s="3" t="n">
        <v>25</v>
      </c>
      <c r="I15" s="3" t="n">
        <v>25</v>
      </c>
      <c r="J15" s="5" t="n">
        <f aca="false">E15+6</f>
        <v>46306</v>
      </c>
      <c r="K15" s="5" t="n">
        <f aca="false">J15-IF(WEEKDAY(J15,2)&gt;=4,WEEKDAY(J15,2)-4,IF(WEEKDAY(J15,2)&gt;=2,WEEKDAY(J15,2)-2,4))</f>
        <v>46303</v>
      </c>
      <c r="L15" s="3" t="str">
        <f aca="false">IF(G15="dañado","NC-01",IF(F15&gt;=K15,"AM-01",IF(WEEKDAY(K15,2)=2,"MARTES","JUEVES")))</f>
        <v>AM-01</v>
      </c>
    </row>
    <row r="16" customFormat="false" ht="15" hidden="false" customHeight="false" outlineLevel="0" collapsed="false">
      <c r="A16" s="3" t="s">
        <v>47</v>
      </c>
      <c r="B16" s="3" t="s">
        <v>19</v>
      </c>
      <c r="C16" s="3" t="s">
        <v>22</v>
      </c>
      <c r="D16" s="4" t="n">
        <v>200</v>
      </c>
      <c r="E16" s="5" t="n">
        <v>46300</v>
      </c>
      <c r="F16" s="5" t="n">
        <v>46303</v>
      </c>
      <c r="G16" s="3" t="s">
        <v>48</v>
      </c>
      <c r="H16" s="3" t="n">
        <v>15</v>
      </c>
      <c r="I16" s="3" t="n">
        <v>30</v>
      </c>
      <c r="J16" s="5" t="n">
        <f aca="false">E16+6</f>
        <v>46306</v>
      </c>
      <c r="K16" s="5" t="n">
        <f aca="false">J16-IF(WEEKDAY(J16,2)&gt;=4,WEEKDAY(J16,2)-4,IF(WEEKDAY(J16,2)&gt;=2,WEEKDAY(J16,2)-2,4))</f>
        <v>46303</v>
      </c>
      <c r="L16" s="3" t="str">
        <f aca="false">IF(G16="dañado","NC-01",IF(F16&gt;=K16,"AM-01",IF(WEEKDAY(K16,2)=2,"MARTES","JUEVES")))</f>
        <v>AM-01</v>
      </c>
    </row>
    <row r="17" customFormat="false" ht="15" hidden="false" customHeight="false" outlineLevel="0" collapsed="false">
      <c r="A17" s="3" t="s">
        <v>49</v>
      </c>
      <c r="B17" s="3" t="s">
        <v>13</v>
      </c>
      <c r="C17" s="3" t="s">
        <v>50</v>
      </c>
      <c r="D17" s="4" t="n">
        <v>800</v>
      </c>
      <c r="E17" s="5" t="n">
        <v>46300</v>
      </c>
      <c r="F17" s="5" t="n">
        <v>46303</v>
      </c>
      <c r="G17" s="3" t="s">
        <v>15</v>
      </c>
      <c r="H17" s="3" t="n">
        <v>30</v>
      </c>
      <c r="I17" s="3" t="n">
        <v>30</v>
      </c>
      <c r="J17" s="5" t="n">
        <f aca="false">E17+6</f>
        <v>46306</v>
      </c>
      <c r="K17" s="5" t="n">
        <f aca="false">J17-IF(WEEKDAY(J17,2)&gt;=4,WEEKDAY(J17,2)-4,IF(WEEKDAY(J17,2)&gt;=2,WEEKDAY(J17,2)-2,4))</f>
        <v>46303</v>
      </c>
      <c r="L17" s="3" t="str">
        <f aca="false">IF(G17="dañado","NC-01",IF(F17&gt;=K17,"AM-01",IF(WEEKDAY(K17,2)=2,"MARTES","JUEVES")))</f>
        <v>AM-01</v>
      </c>
    </row>
    <row r="18" customFormat="false" ht="15" hidden="false" customHeight="false" outlineLevel="0" collapsed="false">
      <c r="A18" s="3" t="s">
        <v>51</v>
      </c>
      <c r="B18" s="3" t="s">
        <v>19</v>
      </c>
      <c r="C18" s="3" t="s">
        <v>29</v>
      </c>
      <c r="D18" s="4" t="n">
        <v>1000</v>
      </c>
      <c r="E18" s="5" t="n">
        <v>46300</v>
      </c>
      <c r="F18" s="5" t="n">
        <v>46303</v>
      </c>
      <c r="G18" s="3" t="s">
        <v>15</v>
      </c>
      <c r="H18" s="3" t="n">
        <v>50</v>
      </c>
      <c r="I18" s="3" t="n">
        <v>40</v>
      </c>
      <c r="J18" s="5" t="n">
        <f aca="false">E18+6</f>
        <v>46306</v>
      </c>
      <c r="K18" s="5" t="n">
        <f aca="false">J18-IF(WEEKDAY(J18,2)&gt;=4,WEEKDAY(J18,2)-4,IF(WEEKDAY(J18,2)&gt;=2,WEEKDAY(J18,2)-2,4))</f>
        <v>46303</v>
      </c>
      <c r="L18" s="3" t="str">
        <f aca="false">IF(G18="dañado","NC-01",IF(F18&gt;=K18,"AM-01",IF(WEEKDAY(K18,2)=2,"MARTES","JUEVES")))</f>
        <v>AM-01</v>
      </c>
    </row>
    <row r="19" customFormat="false" ht="15" hidden="false" customHeight="false" outlineLevel="0" collapsed="false">
      <c r="A19" s="3" t="s">
        <v>52</v>
      </c>
      <c r="B19" s="3" t="s">
        <v>36</v>
      </c>
      <c r="C19" s="3" t="s">
        <v>29</v>
      </c>
      <c r="D19" s="4" t="n">
        <v>750</v>
      </c>
      <c r="E19" s="5" t="n">
        <v>46301</v>
      </c>
      <c r="F19" s="5" t="n">
        <v>46303</v>
      </c>
      <c r="G19" s="3" t="s">
        <v>15</v>
      </c>
      <c r="H19" s="3" t="n">
        <v>50</v>
      </c>
      <c r="I19" s="3" t="n">
        <v>40</v>
      </c>
      <c r="J19" s="5" t="n">
        <f aca="false">E19+6</f>
        <v>46307</v>
      </c>
      <c r="K19" s="5" t="n">
        <f aca="false">J19-IF(WEEKDAY(J19,2)&gt;=4,WEEKDAY(J19,2)-4,IF(WEEKDAY(J19,2)&gt;=2,WEEKDAY(J19,2)-2,4))</f>
        <v>46303</v>
      </c>
      <c r="L19" s="3" t="str">
        <f aca="false">IF(G19="dañado","NC-01",IF(F19&gt;=K19,"AM-01",IF(WEEKDAY(K19,2)=2,"MARTES","JUEVES")))</f>
        <v>AM-01</v>
      </c>
    </row>
    <row r="20" customFormat="false" ht="15" hidden="false" customHeight="false" outlineLevel="0" collapsed="false">
      <c r="A20" s="3" t="s">
        <v>53</v>
      </c>
      <c r="B20" s="3" t="s">
        <v>36</v>
      </c>
      <c r="C20" s="3" t="s">
        <v>46</v>
      </c>
      <c r="D20" s="4" t="n">
        <v>950</v>
      </c>
      <c r="E20" s="5" t="n">
        <v>46302</v>
      </c>
      <c r="F20" s="5" t="n">
        <v>46303</v>
      </c>
      <c r="G20" s="3" t="s">
        <v>15</v>
      </c>
      <c r="H20" s="3" t="n">
        <v>25</v>
      </c>
      <c r="I20" s="3" t="n">
        <v>25</v>
      </c>
      <c r="J20" s="5" t="n">
        <f aca="false">E20+6</f>
        <v>46308</v>
      </c>
      <c r="K20" s="5" t="n">
        <f aca="false">J20-IF(WEEKDAY(J20,2)&gt;=4,WEEKDAY(J20,2)-4,IF(WEEKDAY(J20,2)&gt;=2,WEEKDAY(J20,2)-2,4))</f>
        <v>46308</v>
      </c>
      <c r="L20" s="3" t="str">
        <f aca="false">IF(G20="dañado","NC-01",IF(F20&gt;=K20,"AM-01",IF(WEEKDAY(K20,2)=2,"MARTES","JUEVES")))</f>
        <v>MARTES</v>
      </c>
    </row>
    <row r="21" customFormat="false" ht="15" hidden="false" customHeight="false" outlineLevel="0" collapsed="false">
      <c r="A21" s="3" t="s">
        <v>54</v>
      </c>
      <c r="B21" s="3" t="s">
        <v>13</v>
      </c>
      <c r="C21" s="3" t="s">
        <v>29</v>
      </c>
      <c r="D21" s="4" t="n">
        <v>400</v>
      </c>
      <c r="E21" s="5" t="n">
        <v>46301</v>
      </c>
      <c r="F21" s="5" t="n">
        <v>46304</v>
      </c>
      <c r="G21" s="3" t="s">
        <v>15</v>
      </c>
      <c r="H21" s="3" t="n">
        <v>50</v>
      </c>
      <c r="I21" s="3" t="n">
        <v>40</v>
      </c>
      <c r="J21" s="5" t="n">
        <f aca="false">E21+6</f>
        <v>46307</v>
      </c>
      <c r="K21" s="5" t="n">
        <f aca="false">J21-IF(WEEKDAY(J21,2)&gt;=4,WEEKDAY(J21,2)-4,IF(WEEKDAY(J21,2)&gt;=2,WEEKDAY(J21,2)-2,4))</f>
        <v>46303</v>
      </c>
      <c r="L21" s="3" t="str">
        <f aca="false">IF(G21="dañado","NC-01",IF(F21&gt;=K21,"AM-01",IF(WEEKDAY(K21,2)=2,"MARTES","JUEVES")))</f>
        <v>AM-01</v>
      </c>
    </row>
    <row r="22" customFormat="false" ht="15" hidden="false" customHeight="false" outlineLevel="0" collapsed="false">
      <c r="A22" s="3" t="s">
        <v>55</v>
      </c>
      <c r="B22" s="3" t="s">
        <v>42</v>
      </c>
      <c r="C22" s="3" t="s">
        <v>22</v>
      </c>
      <c r="D22" s="4" t="n">
        <v>700</v>
      </c>
      <c r="E22" s="5" t="n">
        <v>46302</v>
      </c>
      <c r="F22" s="5" t="n">
        <v>46304</v>
      </c>
      <c r="G22" s="3" t="s">
        <v>15</v>
      </c>
      <c r="H22" s="3" t="n">
        <v>15</v>
      </c>
      <c r="I22" s="3" t="n">
        <v>30</v>
      </c>
      <c r="J22" s="5" t="n">
        <f aca="false">E22+6</f>
        <v>46308</v>
      </c>
      <c r="K22" s="5" t="n">
        <f aca="false">J22-IF(WEEKDAY(J22,2)&gt;=4,WEEKDAY(J22,2)-4,IF(WEEKDAY(J22,2)&gt;=2,WEEKDAY(J22,2)-2,4))</f>
        <v>46308</v>
      </c>
      <c r="L22" s="3" t="str">
        <f aca="false">IF(G22="dañado","NC-01",IF(F22&gt;=K22,"AM-01",IF(WEEKDAY(K22,2)=2,"MARTES","JUEVES")))</f>
        <v>MARTES</v>
      </c>
    </row>
    <row r="23" customFormat="false" ht="15" hidden="false" customHeight="false" outlineLevel="0" collapsed="false">
      <c r="A23" s="3" t="s">
        <v>56</v>
      </c>
      <c r="B23" s="3" t="s">
        <v>19</v>
      </c>
      <c r="C23" s="3" t="s">
        <v>57</v>
      </c>
      <c r="D23" s="4" t="n">
        <v>350</v>
      </c>
      <c r="E23" s="5" t="n">
        <v>46302</v>
      </c>
      <c r="F23" s="5" t="n">
        <v>46304</v>
      </c>
      <c r="G23" s="3" t="s">
        <v>15</v>
      </c>
      <c r="H23" s="3" t="n">
        <v>40</v>
      </c>
      <c r="I23" s="3" t="n">
        <v>30</v>
      </c>
      <c r="J23" s="5" t="n">
        <f aca="false">E23+6</f>
        <v>46308</v>
      </c>
      <c r="K23" s="5" t="n">
        <f aca="false">J23-IF(WEEKDAY(J23,2)&gt;=4,WEEKDAY(J23,2)-4,IF(WEEKDAY(J23,2)&gt;=2,WEEKDAY(J23,2)-2,4))</f>
        <v>46308</v>
      </c>
      <c r="L23" s="3" t="str">
        <f aca="false">IF(G23="dañado","NC-01",IF(F23&gt;=K23,"AM-01",IF(WEEKDAY(K23,2)=2,"MARTES","JUEVES")))</f>
        <v>MARTES</v>
      </c>
    </row>
    <row r="24" customFormat="false" ht="15" hidden="false" customHeight="false" outlineLevel="0" collapsed="false">
      <c r="A24" s="3" t="s">
        <v>58</v>
      </c>
      <c r="B24" s="3" t="s">
        <v>25</v>
      </c>
      <c r="C24" s="3" t="s">
        <v>37</v>
      </c>
      <c r="D24" s="4" t="n">
        <v>1200</v>
      </c>
      <c r="E24" s="5" t="n">
        <v>46303</v>
      </c>
      <c r="F24" s="5" t="n">
        <v>46304</v>
      </c>
      <c r="G24" s="3" t="s">
        <v>15</v>
      </c>
      <c r="H24" s="3" t="n">
        <v>25</v>
      </c>
      <c r="I24" s="3" t="n">
        <v>25</v>
      </c>
      <c r="J24" s="5" t="n">
        <f aca="false">E24+6</f>
        <v>46309</v>
      </c>
      <c r="K24" s="5" t="n">
        <f aca="false">J24-IF(WEEKDAY(J24,2)&gt;=4,WEEKDAY(J24,2)-4,IF(WEEKDAY(J24,2)&gt;=2,WEEKDAY(J24,2)-2,4))</f>
        <v>46308</v>
      </c>
      <c r="L24" s="3" t="str">
        <f aca="false">IF(G24="dañado","NC-01",IF(F24&gt;=K24,"AM-01",IF(WEEKDAY(K24,2)=2,"MARTES","JUEVES")))</f>
        <v>MARTES</v>
      </c>
    </row>
    <row r="25" customFormat="false" ht="15" hidden="false" customHeight="false" outlineLevel="0" collapsed="false">
      <c r="A25" s="3" t="s">
        <v>59</v>
      </c>
      <c r="B25" s="3" t="s">
        <v>31</v>
      </c>
      <c r="C25" s="3" t="s">
        <v>57</v>
      </c>
      <c r="D25" s="4" t="n">
        <v>550</v>
      </c>
      <c r="E25" s="5" t="n">
        <v>46303</v>
      </c>
      <c r="F25" s="5" t="n">
        <v>46304</v>
      </c>
      <c r="G25" s="3" t="s">
        <v>15</v>
      </c>
      <c r="H25" s="3" t="n">
        <v>40</v>
      </c>
      <c r="I25" s="3" t="n">
        <v>30</v>
      </c>
      <c r="J25" s="5" t="n">
        <f aca="false">E25+6</f>
        <v>46309</v>
      </c>
      <c r="K25" s="5" t="n">
        <f aca="false">J25-IF(WEEKDAY(J25,2)&gt;=4,WEEKDAY(J25,2)-4,IF(WEEKDAY(J25,2)&gt;=2,WEEKDAY(J25,2)-2,4))</f>
        <v>46308</v>
      </c>
      <c r="L25" s="3" t="str">
        <f aca="false">IF(G25="dañado","NC-01",IF(F25&gt;=K25,"AM-01",IF(WEEKDAY(K25,2)=2,"MARTES","JUEVES")))</f>
        <v>MARTES</v>
      </c>
    </row>
    <row r="26" customFormat="false" ht="15" hidden="false" customHeight="false" outlineLevel="0" collapsed="false">
      <c r="A26" s="3" t="s">
        <v>60</v>
      </c>
      <c r="B26" s="3" t="s">
        <v>13</v>
      </c>
      <c r="C26" s="3" t="s">
        <v>46</v>
      </c>
      <c r="D26" s="4" t="n">
        <v>1000</v>
      </c>
      <c r="E26" s="5" t="n">
        <v>46302</v>
      </c>
      <c r="F26" s="5" t="n">
        <v>46304</v>
      </c>
      <c r="G26" s="3" t="s">
        <v>15</v>
      </c>
      <c r="H26" s="3" t="n">
        <v>25</v>
      </c>
      <c r="I26" s="3" t="n">
        <v>25</v>
      </c>
      <c r="J26" s="5" t="n">
        <f aca="false">E26+6</f>
        <v>46308</v>
      </c>
      <c r="K26" s="5" t="n">
        <f aca="false">J26-IF(WEEKDAY(J26,2)&gt;=4,WEEKDAY(J26,2)-4,IF(WEEKDAY(J26,2)&gt;=2,WEEKDAY(J26,2)-2,4))</f>
        <v>46308</v>
      </c>
      <c r="L26" s="3" t="str">
        <f aca="false">IF(G26="dañado","NC-01",IF(F26&gt;=K26,"AM-01",IF(WEEKDAY(K26,2)=2,"MARTES","JUEVES")))</f>
        <v>MARTES</v>
      </c>
    </row>
    <row r="27" customFormat="false" ht="15" hidden="false" customHeight="false" outlineLevel="0" collapsed="false">
      <c r="A27" s="3" t="s">
        <v>61</v>
      </c>
      <c r="B27" s="3" t="s">
        <v>28</v>
      </c>
      <c r="C27" s="3" t="s">
        <v>46</v>
      </c>
      <c r="D27" s="4" t="n">
        <v>450</v>
      </c>
      <c r="E27" s="5" t="n">
        <v>46303</v>
      </c>
      <c r="F27" s="5" t="n">
        <v>46307</v>
      </c>
      <c r="G27" s="3" t="s">
        <v>33</v>
      </c>
      <c r="H27" s="3" t="n">
        <v>25</v>
      </c>
      <c r="I27" s="3" t="n">
        <v>25</v>
      </c>
      <c r="J27" s="5" t="n">
        <f aca="false">E27+6</f>
        <v>46309</v>
      </c>
      <c r="K27" s="5" t="n">
        <f aca="false">J27-IF(WEEKDAY(J27,2)&gt;=4,WEEKDAY(J27,2)-4,IF(WEEKDAY(J27,2)&gt;=2,WEEKDAY(J27,2)-2,4))</f>
        <v>46308</v>
      </c>
      <c r="L27" s="3" t="str">
        <f aca="false">IF(G27="dañado","NC-01",IF(F27&gt;=K27,"AM-01",IF(WEEKDAY(K27,2)=2,"MARTES","JUEVES")))</f>
        <v>MARTES</v>
      </c>
    </row>
    <row r="28" customFormat="false" ht="15" hidden="false" customHeight="false" outlineLevel="0" collapsed="false">
      <c r="A28" s="3" t="s">
        <v>62</v>
      </c>
      <c r="B28" s="3" t="s">
        <v>42</v>
      </c>
      <c r="C28" s="3" t="s">
        <v>57</v>
      </c>
      <c r="D28" s="4" t="n">
        <v>1150</v>
      </c>
      <c r="E28" s="5" t="n">
        <v>46302</v>
      </c>
      <c r="F28" s="5" t="n">
        <v>46307</v>
      </c>
      <c r="G28" s="3" t="s">
        <v>15</v>
      </c>
      <c r="H28" s="3" t="n">
        <v>40</v>
      </c>
      <c r="I28" s="3" t="n">
        <v>30</v>
      </c>
      <c r="J28" s="5" t="n">
        <f aca="false">E28+6</f>
        <v>46308</v>
      </c>
      <c r="K28" s="5" t="n">
        <f aca="false">J28-IF(WEEKDAY(J28,2)&gt;=4,WEEKDAY(J28,2)-4,IF(WEEKDAY(J28,2)&gt;=2,WEEKDAY(J28,2)-2,4))</f>
        <v>46308</v>
      </c>
      <c r="L28" s="3" t="str">
        <f aca="false">IF(G28="dañado","NC-01",IF(F28&gt;=K28,"AM-01",IF(WEEKDAY(K28,2)=2,"MARTES","JUEVES")))</f>
        <v>MARTES</v>
      </c>
    </row>
    <row r="29" customFormat="false" ht="15" hidden="false" customHeight="false" outlineLevel="0" collapsed="false">
      <c r="A29" s="3" t="s">
        <v>63</v>
      </c>
      <c r="B29" s="3" t="s">
        <v>31</v>
      </c>
      <c r="C29" s="3" t="s">
        <v>46</v>
      </c>
      <c r="D29" s="4" t="n">
        <v>1200</v>
      </c>
      <c r="E29" s="5" t="n">
        <v>46304</v>
      </c>
      <c r="F29" s="5" t="n">
        <v>46307</v>
      </c>
      <c r="G29" s="3" t="s">
        <v>15</v>
      </c>
      <c r="H29" s="3" t="n">
        <v>25</v>
      </c>
      <c r="I29" s="3" t="n">
        <v>25</v>
      </c>
      <c r="J29" s="5" t="n">
        <f aca="false">E29+6</f>
        <v>46310</v>
      </c>
      <c r="K29" s="5" t="n">
        <f aca="false">J29-IF(WEEKDAY(J29,2)&gt;=4,WEEKDAY(J29,2)-4,IF(WEEKDAY(J29,2)&gt;=2,WEEKDAY(J29,2)-2,4))</f>
        <v>46310</v>
      </c>
      <c r="L29" s="3" t="str">
        <f aca="false">IF(G29="dañado","NC-01",IF(F29&gt;=K29,"AM-01",IF(WEEKDAY(K29,2)=2,"MARTES","JUEVES")))</f>
        <v>JUEVES</v>
      </c>
    </row>
    <row r="30" customFormat="false" ht="15" hidden="false" customHeight="false" outlineLevel="0" collapsed="false">
      <c r="A30" s="3" t="s">
        <v>64</v>
      </c>
      <c r="B30" s="3" t="s">
        <v>19</v>
      </c>
      <c r="C30" s="3" t="s">
        <v>14</v>
      </c>
      <c r="D30" s="4" t="n">
        <v>1100</v>
      </c>
      <c r="E30" s="5" t="n">
        <v>46303</v>
      </c>
      <c r="F30" s="5" t="n">
        <v>46307</v>
      </c>
      <c r="G30" s="3" t="s">
        <v>15</v>
      </c>
      <c r="H30" s="3" t="n">
        <v>20</v>
      </c>
      <c r="I30" s="3" t="n">
        <v>30</v>
      </c>
      <c r="J30" s="5" t="n">
        <f aca="false">E30+6</f>
        <v>46309</v>
      </c>
      <c r="K30" s="5" t="n">
        <f aca="false">J30-IF(WEEKDAY(J30,2)&gt;=4,WEEKDAY(J30,2)-4,IF(WEEKDAY(J30,2)&gt;=2,WEEKDAY(J30,2)-2,4))</f>
        <v>46308</v>
      </c>
      <c r="L30" s="3" t="str">
        <f aca="false">IF(G30="dañado","NC-01",IF(F30&gt;=K30,"AM-01",IF(WEEKDAY(K30,2)=2,"MARTES","JUEVES")))</f>
        <v>MARTES</v>
      </c>
    </row>
    <row r="31" customFormat="false" ht="15" hidden="false" customHeight="false" outlineLevel="0" collapsed="false">
      <c r="A31" s="3" t="s">
        <v>65</v>
      </c>
      <c r="B31" s="3" t="s">
        <v>42</v>
      </c>
      <c r="C31" s="3" t="s">
        <v>57</v>
      </c>
      <c r="D31" s="4" t="n">
        <v>900</v>
      </c>
      <c r="E31" s="5" t="n">
        <v>46303</v>
      </c>
      <c r="F31" s="5" t="n">
        <v>46307</v>
      </c>
      <c r="G31" s="3" t="s">
        <v>15</v>
      </c>
      <c r="H31" s="3" t="n">
        <v>40</v>
      </c>
      <c r="I31" s="3" t="n">
        <v>30</v>
      </c>
      <c r="J31" s="5" t="n">
        <f aca="false">E31+6</f>
        <v>46309</v>
      </c>
      <c r="K31" s="5" t="n">
        <f aca="false">J31-IF(WEEKDAY(J31,2)&gt;=4,WEEKDAY(J31,2)-4,IF(WEEKDAY(J31,2)&gt;=2,WEEKDAY(J31,2)-2,4))</f>
        <v>46308</v>
      </c>
      <c r="L31" s="3" t="str">
        <f aca="false">IF(G31="dañado","NC-01",IF(F31&gt;=K31,"AM-01",IF(WEEKDAY(K31,2)=2,"MARTES","JUEVES")))</f>
        <v>MARTES</v>
      </c>
    </row>
    <row r="32" customFormat="false" ht="15" hidden="false" customHeight="false" outlineLevel="0" collapsed="false">
      <c r="A32" s="3" t="s">
        <v>66</v>
      </c>
      <c r="B32" s="3" t="s">
        <v>36</v>
      </c>
      <c r="C32" s="3" t="s">
        <v>67</v>
      </c>
      <c r="D32" s="4" t="n">
        <v>800</v>
      </c>
      <c r="E32" s="5" t="n">
        <v>46304</v>
      </c>
      <c r="F32" s="5" t="n">
        <v>46308</v>
      </c>
      <c r="G32" s="3" t="s">
        <v>15</v>
      </c>
      <c r="H32" s="3" t="n">
        <v>30</v>
      </c>
      <c r="I32" s="3" t="n">
        <v>20</v>
      </c>
      <c r="J32" s="5" t="n">
        <f aca="false">E32+6</f>
        <v>46310</v>
      </c>
      <c r="K32" s="5" t="n">
        <f aca="false">J32-IF(WEEKDAY(J32,2)&gt;=4,WEEKDAY(J32,2)-4,IF(WEEKDAY(J32,2)&gt;=2,WEEKDAY(J32,2)-2,4))</f>
        <v>46310</v>
      </c>
      <c r="L32" s="3" t="str">
        <f aca="false">IF(G32="dañado","NC-01",IF(F32&gt;=K32,"AM-01",IF(WEEKDAY(K32,2)=2,"MARTES","JUEVES")))</f>
        <v>JUEVES</v>
      </c>
    </row>
    <row r="33" customFormat="false" ht="15" hidden="false" customHeight="false" outlineLevel="0" collapsed="false">
      <c r="A33" s="3" t="s">
        <v>68</v>
      </c>
      <c r="B33" s="3" t="s">
        <v>19</v>
      </c>
      <c r="C33" s="3" t="s">
        <v>37</v>
      </c>
      <c r="D33" s="4" t="n">
        <v>950</v>
      </c>
      <c r="E33" s="5" t="n">
        <v>46303</v>
      </c>
      <c r="F33" s="5" t="n">
        <v>46308</v>
      </c>
      <c r="G33" s="3" t="s">
        <v>15</v>
      </c>
      <c r="H33" s="3" t="n">
        <v>25</v>
      </c>
      <c r="I33" s="3" t="n">
        <v>25</v>
      </c>
      <c r="J33" s="5" t="n">
        <f aca="false">E33+6</f>
        <v>46309</v>
      </c>
      <c r="K33" s="5" t="n">
        <f aca="false">J33-IF(WEEKDAY(J33,2)&gt;=4,WEEKDAY(J33,2)-4,IF(WEEKDAY(J33,2)&gt;=2,WEEKDAY(J33,2)-2,4))</f>
        <v>46308</v>
      </c>
      <c r="L33" s="3" t="str">
        <f aca="false">IF(G33="dañado","NC-01",IF(F33&gt;=K33,"AM-01",IF(WEEKDAY(K33,2)=2,"MARTES","JUEVES")))</f>
        <v>AM-01</v>
      </c>
    </row>
    <row r="34" customFormat="false" ht="15" hidden="false" customHeight="false" outlineLevel="0" collapsed="false">
      <c r="A34" s="3" t="s">
        <v>69</v>
      </c>
      <c r="B34" s="3" t="s">
        <v>19</v>
      </c>
      <c r="C34" s="3" t="s">
        <v>70</v>
      </c>
      <c r="D34" s="4" t="n">
        <v>1150</v>
      </c>
      <c r="E34" s="5" t="n">
        <v>46303</v>
      </c>
      <c r="F34" s="5" t="n">
        <v>46308</v>
      </c>
      <c r="G34" s="3" t="s">
        <v>15</v>
      </c>
      <c r="H34" s="3" t="n">
        <v>30</v>
      </c>
      <c r="I34" s="3" t="n">
        <v>30</v>
      </c>
      <c r="J34" s="5" t="n">
        <f aca="false">E34+6</f>
        <v>46309</v>
      </c>
      <c r="K34" s="5" t="n">
        <f aca="false">J34-IF(WEEKDAY(J34,2)&gt;=4,WEEKDAY(J34,2)-4,IF(WEEKDAY(J34,2)&gt;=2,WEEKDAY(J34,2)-2,4))</f>
        <v>46308</v>
      </c>
      <c r="L34" s="3" t="str">
        <f aca="false">IF(G34="dañado","NC-01",IF(F34&gt;=K34,"AM-01",IF(WEEKDAY(K34,2)=2,"MARTES","JUEVES")))</f>
        <v>AM-01</v>
      </c>
    </row>
    <row r="35" customFormat="false" ht="15" hidden="false" customHeight="false" outlineLevel="0" collapsed="false">
      <c r="A35" s="3" t="s">
        <v>71</v>
      </c>
      <c r="B35" s="3" t="s">
        <v>21</v>
      </c>
      <c r="C35" s="3" t="s">
        <v>22</v>
      </c>
      <c r="D35" s="4" t="n">
        <v>450</v>
      </c>
      <c r="E35" s="5" t="n">
        <v>46303</v>
      </c>
      <c r="F35" s="5" t="n">
        <v>46308</v>
      </c>
      <c r="G35" s="3" t="s">
        <v>15</v>
      </c>
      <c r="H35" s="3" t="n">
        <v>15</v>
      </c>
      <c r="I35" s="3" t="n">
        <v>30</v>
      </c>
      <c r="J35" s="5" t="n">
        <f aca="false">E35+6</f>
        <v>46309</v>
      </c>
      <c r="K35" s="5" t="n">
        <f aca="false">J35-IF(WEEKDAY(J35,2)&gt;=4,WEEKDAY(J35,2)-4,IF(WEEKDAY(J35,2)&gt;=2,WEEKDAY(J35,2)-2,4))</f>
        <v>46308</v>
      </c>
      <c r="L35" s="3" t="str">
        <f aca="false">IF(G35="dañado","NC-01",IF(F35&gt;=K35,"AM-01",IF(WEEKDAY(K35,2)=2,"MARTES","JUEVES")))</f>
        <v>AM-01</v>
      </c>
    </row>
    <row r="36" customFormat="false" ht="15" hidden="false" customHeight="false" outlineLevel="0" collapsed="false">
      <c r="A36" s="3" t="s">
        <v>72</v>
      </c>
      <c r="B36" s="3" t="s">
        <v>13</v>
      </c>
      <c r="C36" s="3" t="s">
        <v>46</v>
      </c>
      <c r="D36" s="4" t="n">
        <v>950</v>
      </c>
      <c r="E36" s="5" t="n">
        <v>46304</v>
      </c>
      <c r="F36" s="5" t="n">
        <v>46308</v>
      </c>
      <c r="G36" s="3" t="s">
        <v>15</v>
      </c>
      <c r="H36" s="3" t="n">
        <v>25</v>
      </c>
      <c r="I36" s="3" t="n">
        <v>25</v>
      </c>
      <c r="J36" s="5" t="n">
        <f aca="false">E36+6</f>
        <v>46310</v>
      </c>
      <c r="K36" s="5" t="n">
        <f aca="false">J36-IF(WEEKDAY(J36,2)&gt;=4,WEEKDAY(J36,2)-4,IF(WEEKDAY(J36,2)&gt;=2,WEEKDAY(J36,2)-2,4))</f>
        <v>46310</v>
      </c>
      <c r="L36" s="3" t="str">
        <f aca="false">IF(G36="dañado","NC-01",IF(F36&gt;=K36,"AM-01",IF(WEEKDAY(K36,2)=2,"MARTES","JUEVES")))</f>
        <v>JUEVES</v>
      </c>
    </row>
    <row r="37" customFormat="false" ht="15" hidden="false" customHeight="false" outlineLevel="0" collapsed="false">
      <c r="A37" s="3" t="s">
        <v>73</v>
      </c>
      <c r="B37" s="3" t="s">
        <v>19</v>
      </c>
      <c r="C37" s="3" t="s">
        <v>46</v>
      </c>
      <c r="D37" s="4" t="n">
        <v>300</v>
      </c>
      <c r="E37" s="5" t="n">
        <v>46304</v>
      </c>
      <c r="F37" s="5" t="n">
        <v>46308</v>
      </c>
      <c r="G37" s="3" t="s">
        <v>15</v>
      </c>
      <c r="H37" s="3" t="n">
        <v>25</v>
      </c>
      <c r="I37" s="3" t="n">
        <v>25</v>
      </c>
      <c r="J37" s="5" t="n">
        <f aca="false">E37+6</f>
        <v>46310</v>
      </c>
      <c r="K37" s="5" t="n">
        <f aca="false">J37-IF(WEEKDAY(J37,2)&gt;=4,WEEKDAY(J37,2)-4,IF(WEEKDAY(J37,2)&gt;=2,WEEKDAY(J37,2)-2,4))</f>
        <v>46310</v>
      </c>
      <c r="L37" s="3" t="str">
        <f aca="false">IF(G37="dañado","NC-01",IF(F37&gt;=K37,"AM-01",IF(WEEKDAY(K37,2)=2,"MARTES","JUEVES")))</f>
        <v>JUEVES</v>
      </c>
    </row>
    <row r="38" customFormat="false" ht="15" hidden="false" customHeight="false" outlineLevel="0" collapsed="false">
      <c r="A38" s="3" t="s">
        <v>74</v>
      </c>
      <c r="B38" s="3" t="s">
        <v>28</v>
      </c>
      <c r="C38" s="3" t="s">
        <v>14</v>
      </c>
      <c r="D38" s="4" t="n">
        <v>1200</v>
      </c>
      <c r="E38" s="5" t="n">
        <v>46303</v>
      </c>
      <c r="F38" s="5" t="n">
        <v>46308</v>
      </c>
      <c r="G38" s="3" t="s">
        <v>15</v>
      </c>
      <c r="H38" s="3" t="n">
        <v>20</v>
      </c>
      <c r="I38" s="3" t="n">
        <v>30</v>
      </c>
      <c r="J38" s="5" t="n">
        <f aca="false">E38+6</f>
        <v>46309</v>
      </c>
      <c r="K38" s="5" t="n">
        <f aca="false">J38-IF(WEEKDAY(J38,2)&gt;=4,WEEKDAY(J38,2)-4,IF(WEEKDAY(J38,2)&gt;=2,WEEKDAY(J38,2)-2,4))</f>
        <v>46308</v>
      </c>
      <c r="L38" s="3" t="str">
        <f aca="false">IF(G38="dañado","NC-01",IF(F38&gt;=K38,"AM-01",IF(WEEKDAY(K38,2)=2,"MARTES","JUEVES")))</f>
        <v>AM-01</v>
      </c>
    </row>
    <row r="39" customFormat="false" ht="15" hidden="false" customHeight="false" outlineLevel="0" collapsed="false">
      <c r="A39" s="3" t="s">
        <v>75</v>
      </c>
      <c r="B39" s="3" t="s">
        <v>28</v>
      </c>
      <c r="C39" s="3" t="s">
        <v>76</v>
      </c>
      <c r="D39" s="4" t="n">
        <v>1100</v>
      </c>
      <c r="E39" s="5" t="n">
        <v>46308</v>
      </c>
      <c r="F39" s="5" t="n">
        <v>46309</v>
      </c>
      <c r="G39" s="3" t="s">
        <v>15</v>
      </c>
      <c r="H39" s="3" t="n">
        <v>35</v>
      </c>
      <c r="I39" s="3" t="n">
        <v>35</v>
      </c>
      <c r="J39" s="5" t="n">
        <f aca="false">E39+6</f>
        <v>46314</v>
      </c>
      <c r="K39" s="5" t="n">
        <f aca="false">J39-IF(WEEKDAY(J39,2)&gt;=4,WEEKDAY(J39,2)-4,IF(WEEKDAY(J39,2)&gt;=2,WEEKDAY(J39,2)-2,4))</f>
        <v>46310</v>
      </c>
      <c r="L39" s="3" t="str">
        <f aca="false">IF(G39="dañado","NC-01",IF(F39&gt;=K39,"AM-01",IF(WEEKDAY(K39,2)=2,"MARTES","JUEVES")))</f>
        <v>JUEVES</v>
      </c>
    </row>
    <row r="40" customFormat="false" ht="15" hidden="false" customHeight="false" outlineLevel="0" collapsed="false">
      <c r="A40" s="3" t="s">
        <v>77</v>
      </c>
      <c r="B40" s="3" t="s">
        <v>19</v>
      </c>
      <c r="C40" s="3" t="s">
        <v>57</v>
      </c>
      <c r="D40" s="4" t="n">
        <v>900</v>
      </c>
      <c r="E40" s="5" t="n">
        <v>46307</v>
      </c>
      <c r="F40" s="5" t="n">
        <v>46309</v>
      </c>
      <c r="G40" s="3" t="s">
        <v>15</v>
      </c>
      <c r="H40" s="3" t="n">
        <v>40</v>
      </c>
      <c r="I40" s="3" t="n">
        <v>30</v>
      </c>
      <c r="J40" s="5" t="n">
        <f aca="false">E40+6</f>
        <v>46313</v>
      </c>
      <c r="K40" s="5" t="n">
        <f aca="false">J40-IF(WEEKDAY(J40,2)&gt;=4,WEEKDAY(J40,2)-4,IF(WEEKDAY(J40,2)&gt;=2,WEEKDAY(J40,2)-2,4))</f>
        <v>46310</v>
      </c>
      <c r="L40" s="3" t="str">
        <f aca="false">IF(G40="dañado","NC-01",IF(F40&gt;=K40,"AM-01",IF(WEEKDAY(K40,2)=2,"MARTES","JUEVES")))</f>
        <v>JUEVES</v>
      </c>
    </row>
    <row r="41" customFormat="false" ht="15" hidden="false" customHeight="false" outlineLevel="0" collapsed="false">
      <c r="A41" s="3" t="s">
        <v>78</v>
      </c>
      <c r="B41" s="3" t="s">
        <v>21</v>
      </c>
      <c r="C41" s="3" t="s">
        <v>29</v>
      </c>
      <c r="D41" s="4" t="n">
        <v>200</v>
      </c>
      <c r="E41" s="5" t="n">
        <v>46304</v>
      </c>
      <c r="F41" s="5" t="n">
        <v>46309</v>
      </c>
      <c r="G41" s="3" t="s">
        <v>15</v>
      </c>
      <c r="H41" s="3" t="n">
        <v>50</v>
      </c>
      <c r="I41" s="3" t="n">
        <v>40</v>
      </c>
      <c r="J41" s="5" t="n">
        <f aca="false">E41+6</f>
        <v>46310</v>
      </c>
      <c r="K41" s="5" t="n">
        <f aca="false">J41-IF(WEEKDAY(J41,2)&gt;=4,WEEKDAY(J41,2)-4,IF(WEEKDAY(J41,2)&gt;=2,WEEKDAY(J41,2)-2,4))</f>
        <v>46310</v>
      </c>
      <c r="L41" s="3" t="str">
        <f aca="false">IF(G41="dañado","NC-01",IF(F41&gt;=K41,"AM-01",IF(WEEKDAY(K41,2)=2,"MARTES","JUEVES")))</f>
        <v>JUEVES</v>
      </c>
    </row>
    <row r="42" customFormat="false" ht="15" hidden="false" customHeight="false" outlineLevel="0" collapsed="false">
      <c r="A42" s="3" t="s">
        <v>79</v>
      </c>
      <c r="B42" s="3" t="s">
        <v>25</v>
      </c>
      <c r="C42" s="3" t="s">
        <v>80</v>
      </c>
      <c r="D42" s="4" t="n">
        <v>450</v>
      </c>
      <c r="E42" s="5" t="n">
        <v>46308</v>
      </c>
      <c r="F42" s="5" t="n">
        <v>46309</v>
      </c>
      <c r="G42" s="3" t="s">
        <v>15</v>
      </c>
      <c r="H42" s="3" t="n">
        <v>30</v>
      </c>
      <c r="I42" s="3" t="n">
        <v>30</v>
      </c>
      <c r="J42" s="5" t="n">
        <f aca="false">E42+6</f>
        <v>46314</v>
      </c>
      <c r="K42" s="5" t="n">
        <f aca="false">J42-IF(WEEKDAY(J42,2)&gt;=4,WEEKDAY(J42,2)-4,IF(WEEKDAY(J42,2)&gt;=2,WEEKDAY(J42,2)-2,4))</f>
        <v>46310</v>
      </c>
      <c r="L42" s="3" t="str">
        <f aca="false">IF(G42="dañado","NC-01",IF(F42&gt;=K42,"AM-01",IF(WEEKDAY(K42,2)=2,"MARTES","JUEVES")))</f>
        <v>JUEVES</v>
      </c>
    </row>
    <row r="43" customFormat="false" ht="15" hidden="false" customHeight="false" outlineLevel="0" collapsed="false">
      <c r="A43" s="3" t="s">
        <v>81</v>
      </c>
      <c r="B43" s="3" t="s">
        <v>13</v>
      </c>
      <c r="C43" s="3" t="s">
        <v>50</v>
      </c>
      <c r="D43" s="4" t="n">
        <v>1200</v>
      </c>
      <c r="E43" s="5" t="n">
        <v>46309</v>
      </c>
      <c r="F43" s="5" t="n">
        <v>46310</v>
      </c>
      <c r="G43" s="3" t="s">
        <v>15</v>
      </c>
      <c r="H43" s="3" t="n">
        <v>30</v>
      </c>
      <c r="I43" s="3" t="n">
        <v>30</v>
      </c>
      <c r="J43" s="5" t="n">
        <f aca="false">E43+6</f>
        <v>46315</v>
      </c>
      <c r="K43" s="5" t="n">
        <f aca="false">J43-IF(WEEKDAY(J43,2)&gt;=4,WEEKDAY(J43,2)-4,IF(WEEKDAY(J43,2)&gt;=2,WEEKDAY(J43,2)-2,4))</f>
        <v>46315</v>
      </c>
      <c r="L43" s="3" t="str">
        <f aca="false">IF(G43="dañado","NC-01",IF(F43&gt;=K43,"AM-01",IF(WEEKDAY(K43,2)=2,"MARTES","JUEVES")))</f>
        <v>MARTES</v>
      </c>
    </row>
    <row r="44" customFormat="false" ht="15" hidden="false" customHeight="false" outlineLevel="0" collapsed="false">
      <c r="A44" s="3" t="s">
        <v>82</v>
      </c>
      <c r="B44" s="3" t="s">
        <v>31</v>
      </c>
      <c r="C44" s="3" t="s">
        <v>46</v>
      </c>
      <c r="D44" s="4" t="n">
        <v>450</v>
      </c>
      <c r="E44" s="5" t="n">
        <v>46309</v>
      </c>
      <c r="F44" s="5" t="n">
        <v>46310</v>
      </c>
      <c r="G44" s="3" t="s">
        <v>15</v>
      </c>
      <c r="H44" s="3" t="n">
        <v>25</v>
      </c>
      <c r="I44" s="3" t="n">
        <v>25</v>
      </c>
      <c r="J44" s="5" t="n">
        <f aca="false">E44+6</f>
        <v>46315</v>
      </c>
      <c r="K44" s="5" t="n">
        <f aca="false">J44-IF(WEEKDAY(J44,2)&gt;=4,WEEKDAY(J44,2)-4,IF(WEEKDAY(J44,2)&gt;=2,WEEKDAY(J44,2)-2,4))</f>
        <v>46315</v>
      </c>
      <c r="L44" s="3" t="str">
        <f aca="false">IF(G44="dañado","NC-01",IF(F44&gt;=K44,"AM-01",IF(WEEKDAY(K44,2)=2,"MARTES","JUEVES")))</f>
        <v>MARTES</v>
      </c>
    </row>
    <row r="45" customFormat="false" ht="15" hidden="false" customHeight="false" outlineLevel="0" collapsed="false">
      <c r="A45" s="3" t="s">
        <v>83</v>
      </c>
      <c r="B45" s="3" t="s">
        <v>31</v>
      </c>
      <c r="C45" s="3" t="s">
        <v>57</v>
      </c>
      <c r="D45" s="4" t="n">
        <v>350</v>
      </c>
      <c r="E45" s="5" t="n">
        <v>46308</v>
      </c>
      <c r="F45" s="5" t="n">
        <v>46310</v>
      </c>
      <c r="G45" s="3" t="s">
        <v>15</v>
      </c>
      <c r="H45" s="3" t="n">
        <v>40</v>
      </c>
      <c r="I45" s="3" t="n">
        <v>30</v>
      </c>
      <c r="J45" s="5" t="n">
        <f aca="false">E45+6</f>
        <v>46314</v>
      </c>
      <c r="K45" s="5" t="n">
        <f aca="false">J45-IF(WEEKDAY(J45,2)&gt;=4,WEEKDAY(J45,2)-4,IF(WEEKDAY(J45,2)&gt;=2,WEEKDAY(J45,2)-2,4))</f>
        <v>46310</v>
      </c>
      <c r="L45" s="3" t="str">
        <f aca="false">IF(G45="dañado","NC-01",IF(F45&gt;=K45,"AM-01",IF(WEEKDAY(K45,2)=2,"MARTES","JUEVES")))</f>
        <v>AM-01</v>
      </c>
    </row>
    <row r="46" customFormat="false" ht="15" hidden="false" customHeight="false" outlineLevel="0" collapsed="false">
      <c r="A46" s="3" t="s">
        <v>84</v>
      </c>
      <c r="B46" s="3" t="s">
        <v>13</v>
      </c>
      <c r="C46" s="3" t="s">
        <v>46</v>
      </c>
      <c r="D46" s="4" t="n">
        <v>350</v>
      </c>
      <c r="E46" s="5" t="n">
        <v>46307</v>
      </c>
      <c r="F46" s="5" t="n">
        <v>46310</v>
      </c>
      <c r="G46" s="3" t="s">
        <v>48</v>
      </c>
      <c r="H46" s="3" t="n">
        <v>25</v>
      </c>
      <c r="I46" s="3" t="n">
        <v>25</v>
      </c>
      <c r="J46" s="5" t="n">
        <f aca="false">E46+6</f>
        <v>46313</v>
      </c>
      <c r="K46" s="5" t="n">
        <f aca="false">J46-IF(WEEKDAY(J46,2)&gt;=4,WEEKDAY(J46,2)-4,IF(WEEKDAY(J46,2)&gt;=2,WEEKDAY(J46,2)-2,4))</f>
        <v>46310</v>
      </c>
      <c r="L46" s="3" t="str">
        <f aca="false">IF(G46="dañado","NC-01",IF(F46&gt;=K46,"AM-01",IF(WEEKDAY(K46,2)=2,"MARTES","JUEVES")))</f>
        <v>AM-01</v>
      </c>
    </row>
    <row r="47" customFormat="false" ht="15" hidden="false" customHeight="false" outlineLevel="0" collapsed="false">
      <c r="A47" s="3" t="s">
        <v>85</v>
      </c>
      <c r="B47" s="3" t="s">
        <v>19</v>
      </c>
      <c r="C47" s="3" t="s">
        <v>26</v>
      </c>
      <c r="D47" s="4" t="n">
        <v>500</v>
      </c>
      <c r="E47" s="5" t="n">
        <v>46307</v>
      </c>
      <c r="F47" s="5" t="n">
        <v>46310</v>
      </c>
      <c r="G47" s="3" t="s">
        <v>15</v>
      </c>
      <c r="H47" s="3" t="n">
        <v>40</v>
      </c>
      <c r="I47" s="3" t="n">
        <v>30</v>
      </c>
      <c r="J47" s="5" t="n">
        <f aca="false">E47+6</f>
        <v>46313</v>
      </c>
      <c r="K47" s="5" t="n">
        <f aca="false">J47-IF(WEEKDAY(J47,2)&gt;=4,WEEKDAY(J47,2)-4,IF(WEEKDAY(J47,2)&gt;=2,WEEKDAY(J47,2)-2,4))</f>
        <v>46310</v>
      </c>
      <c r="L47" s="3" t="str">
        <f aca="false">IF(G47="dañado","NC-01",IF(F47&gt;=K47,"AM-01",IF(WEEKDAY(K47,2)=2,"MARTES","JUEVES")))</f>
        <v>AM-01</v>
      </c>
    </row>
    <row r="48" customFormat="false" ht="15" hidden="false" customHeight="false" outlineLevel="0" collapsed="false">
      <c r="A48" s="3" t="s">
        <v>86</v>
      </c>
      <c r="B48" s="3" t="s">
        <v>21</v>
      </c>
      <c r="C48" s="3" t="s">
        <v>87</v>
      </c>
      <c r="D48" s="4" t="n">
        <v>700</v>
      </c>
      <c r="E48" s="5" t="n">
        <v>46309</v>
      </c>
      <c r="F48" s="5" t="n">
        <v>46310</v>
      </c>
      <c r="G48" s="3" t="s">
        <v>15</v>
      </c>
      <c r="H48" s="3" t="n">
        <v>30</v>
      </c>
      <c r="I48" s="3" t="n">
        <v>20</v>
      </c>
      <c r="J48" s="5" t="n">
        <f aca="false">E48+6</f>
        <v>46315</v>
      </c>
      <c r="K48" s="5" t="n">
        <f aca="false">J48-IF(WEEKDAY(J48,2)&gt;=4,WEEKDAY(J48,2)-4,IF(WEEKDAY(J48,2)&gt;=2,WEEKDAY(J48,2)-2,4))</f>
        <v>46315</v>
      </c>
      <c r="L48" s="3" t="str">
        <f aca="false">IF(G48="dañado","NC-01",IF(F48&gt;=K48,"AM-01",IF(WEEKDAY(K48,2)=2,"MARTES","JUEVES")))</f>
        <v>MARTES</v>
      </c>
    </row>
    <row r="49" customFormat="false" ht="15" hidden="false" customHeight="false" outlineLevel="0" collapsed="false">
      <c r="A49" s="3" t="s">
        <v>88</v>
      </c>
      <c r="B49" s="3" t="s">
        <v>42</v>
      </c>
      <c r="C49" s="3" t="s">
        <v>37</v>
      </c>
      <c r="D49" s="4" t="n">
        <v>350</v>
      </c>
      <c r="E49" s="5" t="n">
        <v>46309</v>
      </c>
      <c r="F49" s="5" t="n">
        <v>46311</v>
      </c>
      <c r="G49" s="3" t="s">
        <v>15</v>
      </c>
      <c r="H49" s="3" t="n">
        <v>25</v>
      </c>
      <c r="I49" s="3" t="n">
        <v>25</v>
      </c>
      <c r="J49" s="5" t="n">
        <f aca="false">E49+6</f>
        <v>46315</v>
      </c>
      <c r="K49" s="5" t="n">
        <f aca="false">J49-IF(WEEKDAY(J49,2)&gt;=4,WEEKDAY(J49,2)-4,IF(WEEKDAY(J49,2)&gt;=2,WEEKDAY(J49,2)-2,4))</f>
        <v>46315</v>
      </c>
      <c r="L49" s="3" t="str">
        <f aca="false">IF(G49="dañado","NC-01",IF(F49&gt;=K49,"AM-01",IF(WEEKDAY(K49,2)=2,"MARTES","JUEVES")))</f>
        <v>MARTES</v>
      </c>
    </row>
    <row r="50" customFormat="false" ht="15" hidden="false" customHeight="false" outlineLevel="0" collapsed="false">
      <c r="A50" s="3" t="s">
        <v>89</v>
      </c>
      <c r="B50" s="3" t="s">
        <v>21</v>
      </c>
      <c r="C50" s="3" t="s">
        <v>90</v>
      </c>
      <c r="D50" s="4" t="n">
        <v>1150</v>
      </c>
      <c r="E50" s="5" t="n">
        <v>46310</v>
      </c>
      <c r="F50" s="5" t="n">
        <v>46311</v>
      </c>
      <c r="G50" s="3" t="s">
        <v>48</v>
      </c>
      <c r="H50" s="3" t="n">
        <v>30</v>
      </c>
      <c r="I50" s="3" t="n">
        <v>30</v>
      </c>
      <c r="J50" s="5" t="n">
        <f aca="false">E50+6</f>
        <v>46316</v>
      </c>
      <c r="K50" s="5" t="n">
        <f aca="false">J50-IF(WEEKDAY(J50,2)&gt;=4,WEEKDAY(J50,2)-4,IF(WEEKDAY(J50,2)&gt;=2,WEEKDAY(J50,2)-2,4))</f>
        <v>46315</v>
      </c>
      <c r="L50" s="3" t="str">
        <f aca="false">IF(G50="dañado","NC-01",IF(F50&gt;=K50,"AM-01",IF(WEEKDAY(K50,2)=2,"MARTES","JUEVES")))</f>
        <v>MARTES</v>
      </c>
    </row>
    <row r="51" customFormat="false" ht="15" hidden="false" customHeight="false" outlineLevel="0" collapsed="false">
      <c r="A51" s="3" t="s">
        <v>91</v>
      </c>
      <c r="B51" s="3" t="s">
        <v>28</v>
      </c>
      <c r="C51" s="3" t="s">
        <v>92</v>
      </c>
      <c r="D51" s="4" t="n">
        <v>700</v>
      </c>
      <c r="E51" s="5" t="n">
        <v>46308</v>
      </c>
      <c r="F51" s="5" t="n">
        <v>46311</v>
      </c>
      <c r="G51" s="3" t="s">
        <v>15</v>
      </c>
      <c r="H51" s="3" t="n">
        <v>30</v>
      </c>
      <c r="I51" s="3" t="n">
        <v>20</v>
      </c>
      <c r="J51" s="5" t="n">
        <f aca="false">E51+6</f>
        <v>46314</v>
      </c>
      <c r="K51" s="5" t="n">
        <f aca="false">J51-IF(WEEKDAY(J51,2)&gt;=4,WEEKDAY(J51,2)-4,IF(WEEKDAY(J51,2)&gt;=2,WEEKDAY(J51,2)-2,4))</f>
        <v>46310</v>
      </c>
      <c r="L51" s="3" t="str">
        <f aca="false">IF(G51="dañado","NC-01",IF(F51&gt;=K51,"AM-01",IF(WEEKDAY(K51,2)=2,"MARTES","JUEVES")))</f>
        <v>AM-01</v>
      </c>
    </row>
    <row r="52" customFormat="false" ht="15" hidden="false" customHeight="false" outlineLevel="0" collapsed="false">
      <c r="A52" s="3" t="s">
        <v>93</v>
      </c>
      <c r="B52" s="3" t="s">
        <v>13</v>
      </c>
      <c r="C52" s="3" t="s">
        <v>26</v>
      </c>
      <c r="D52" s="4" t="n">
        <v>750</v>
      </c>
      <c r="E52" s="5" t="n">
        <v>46310</v>
      </c>
      <c r="F52" s="5" t="n">
        <v>46311</v>
      </c>
      <c r="G52" s="3" t="s">
        <v>48</v>
      </c>
      <c r="H52" s="3" t="n">
        <v>40</v>
      </c>
      <c r="I52" s="3" t="n">
        <v>30</v>
      </c>
      <c r="J52" s="5" t="n">
        <f aca="false">E52+6</f>
        <v>46316</v>
      </c>
      <c r="K52" s="5" t="n">
        <f aca="false">J52-IF(WEEKDAY(J52,2)&gt;=4,WEEKDAY(J52,2)-4,IF(WEEKDAY(J52,2)&gt;=2,WEEKDAY(J52,2)-2,4))</f>
        <v>46315</v>
      </c>
      <c r="L52" s="3" t="str">
        <f aca="false">IF(G52="dañado","NC-01",IF(F52&gt;=K52,"AM-01",IF(WEEKDAY(K52,2)=2,"MARTES","JUEVES")))</f>
        <v>MARTES</v>
      </c>
    </row>
  </sheetData>
  <autoFilter ref="A1:L52"/>
  <dataValidations count="1">
    <dataValidation allowBlank="true" errorStyle="stop" operator="between" showDropDown="false" showErrorMessage="false" showInputMessage="false" sqref="G2:G252" type="list">
      <formula1>"ninguna,zona incorrecta,dañado,sin ubicar,no despachado"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6" t="s">
        <v>94</v>
      </c>
    </row>
    <row r="3" customFormat="false" ht="15" hidden="false" customHeight="false" outlineLevel="0" collapsed="false">
      <c r="A3" s="7" t="s">
        <v>95</v>
      </c>
      <c r="B3" s="8" t="n">
        <f aca="false">COUNTA(Lotes!A2:A52)</f>
        <v>51</v>
      </c>
    </row>
    <row r="4" customFormat="false" ht="15" hidden="false" customHeight="false" outlineLevel="0" collapsed="false">
      <c r="A4" s="7" t="s">
        <v>96</v>
      </c>
      <c r="B4" s="8" t="n">
        <f aca="false">SUMPRODUCT(1/COUNTIF(Lotes!B2:B52,Lotes!B2:B52))</f>
        <v>8</v>
      </c>
    </row>
    <row r="5" customFormat="false" ht="15" hidden="false" customHeight="false" outlineLevel="0" collapsed="false">
      <c r="A5" s="7" t="s">
        <v>97</v>
      </c>
      <c r="B5" s="8" t="n">
        <f aca="false">SUM(Lotes!D2:D52)</f>
        <v>38200</v>
      </c>
    </row>
    <row r="6" customFormat="false" ht="15" hidden="false" customHeight="false" outlineLevel="0" collapsed="false">
      <c r="A6" s="7" t="s">
        <v>98</v>
      </c>
      <c r="B6" s="8" t="n">
        <f aca="false">COUNTIF(Lotes!L2:L52,"MARTES")</f>
        <v>17</v>
      </c>
    </row>
    <row r="7" customFormat="false" ht="15" hidden="false" customHeight="false" outlineLevel="0" collapsed="false">
      <c r="A7" s="7" t="s">
        <v>99</v>
      </c>
      <c r="B7" s="8" t="n">
        <f aca="false">COUNTIF(Lotes!L2:L52,"JUEVES")</f>
        <v>18</v>
      </c>
    </row>
    <row r="8" customFormat="false" ht="15" hidden="false" customHeight="false" outlineLevel="0" collapsed="false">
      <c r="A8" s="7" t="s">
        <v>100</v>
      </c>
      <c r="B8" s="8" t="n">
        <f aca="false">COUNTIF(Lotes!L2:L52,"AM-01")</f>
        <v>15</v>
      </c>
    </row>
    <row r="9" customFormat="false" ht="15" hidden="false" customHeight="false" outlineLevel="0" collapsed="false">
      <c r="A9" s="7" t="s">
        <v>101</v>
      </c>
      <c r="B9" s="8" t="n">
        <f aca="false">COUNTIF(Lotes!L2:L52,"NC-01")</f>
        <v>1</v>
      </c>
    </row>
    <row r="10" customFormat="false" ht="15" hidden="false" customHeight="false" outlineLevel="0" collapsed="false">
      <c r="A10" s="7" t="s">
        <v>102</v>
      </c>
      <c r="B10" s="8" t="n">
        <f aca="false">COUNTIF(Lotes!G2:G52,"zona incorrecta")</f>
        <v>4</v>
      </c>
    </row>
    <row r="11" customFormat="false" ht="15" hidden="false" customHeight="false" outlineLevel="0" collapsed="false">
      <c r="A11" s="7" t="s">
        <v>103</v>
      </c>
      <c r="B11" s="8" t="n">
        <f aca="false">COUNTIF(Lotes!G2:G52,"sin ubicar")</f>
        <v>2</v>
      </c>
    </row>
    <row r="12" customFormat="false" ht="15" hidden="false" customHeight="false" outlineLevel="0" collapsed="false">
      <c r="A12" s="7" t="s">
        <v>104</v>
      </c>
      <c r="B12" s="8" t="n">
        <f aca="false">COUNTIF(Lotes!G2:G52,"dañado")</f>
        <v>1</v>
      </c>
    </row>
    <row r="13" customFormat="false" ht="15" hidden="false" customHeight="false" outlineLevel="0" collapsed="false">
      <c r="A13" s="7" t="s">
        <v>105</v>
      </c>
      <c r="B13" s="9" t="n">
        <f aca="false">MIN(Lotes!F2:F52)</f>
        <v>46300</v>
      </c>
    </row>
    <row r="14" customFormat="false" ht="15" hidden="false" customHeight="false" outlineLevel="0" collapsed="false">
      <c r="A14" s="7" t="s">
        <v>106</v>
      </c>
      <c r="B14" s="9" t="n">
        <f aca="false">MAX(Lotes!F2:F52)</f>
        <v>46311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0" t="s">
        <v>107</v>
      </c>
    </row>
    <row r="2" customFormat="false" ht="15" hidden="false" customHeight="false" outlineLevel="0" collapsed="false">
      <c r="A2" s="11"/>
    </row>
    <row r="3" customFormat="false" ht="26.85" hidden="false" customHeight="false" outlineLevel="0" collapsed="false">
      <c r="A3" s="11" t="s">
        <v>108</v>
      </c>
    </row>
    <row r="4" customFormat="false" ht="15" hidden="false" customHeight="false" outlineLevel="0" collapsed="false">
      <c r="A4" s="11" t="s">
        <v>109</v>
      </c>
    </row>
    <row r="5" customFormat="false" ht="15" hidden="false" customHeight="false" outlineLevel="0" collapsed="false">
      <c r="A5" s="11"/>
    </row>
    <row r="6" customFormat="false" ht="26.85" hidden="false" customHeight="false" outlineLevel="0" collapsed="false">
      <c r="A6" s="11" t="s">
        <v>110</v>
      </c>
    </row>
    <row r="7" customFormat="false" ht="26.85" hidden="false" customHeight="false" outlineLevel="0" collapsed="false">
      <c r="A7" s="11" t="s">
        <v>111</v>
      </c>
    </row>
    <row r="8" customFormat="false" ht="26.85" hidden="false" customHeight="false" outlineLevel="0" collapsed="false">
      <c r="A8" s="11" t="s">
        <v>112</v>
      </c>
    </row>
    <row r="9" customFormat="false" ht="15" hidden="false" customHeight="false" outlineLevel="0" collapsed="false">
      <c r="A9" s="11" t="s">
        <v>113</v>
      </c>
    </row>
    <row r="10" customFormat="false" ht="26.85" hidden="false" customHeight="false" outlineLevel="0" collapsed="false">
      <c r="A10" s="11" t="s">
        <v>114</v>
      </c>
    </row>
    <row r="11" customFormat="false" ht="15" hidden="false" customHeight="false" outlineLevel="0" collapsed="false">
      <c r="A11" s="11"/>
    </row>
    <row r="12" customFormat="false" ht="26.85" hidden="false" customHeight="false" outlineLevel="0" collapsed="false">
      <c r="A12" s="11" t="s">
        <v>115</v>
      </c>
    </row>
    <row r="13" customFormat="false" ht="15" hidden="false" customHeight="false" outlineLevel="0" collapsed="false">
      <c r="A13" s="11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2026-10-12T01:54:04Z</dcterms:created>
  <dc:creator>openpyxl</dc:creator>
  <dc:description/>
  <dc:language>en-US</dc:language>
  <cp:lastModifiedBy/>
  <dcterms:modified xsi:type="dcterms:W3CDTF">2026-10-12T01:54:04Z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